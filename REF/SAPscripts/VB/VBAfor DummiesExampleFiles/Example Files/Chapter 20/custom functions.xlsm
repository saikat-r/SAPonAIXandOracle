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VBA Programming For Dummies\Examples\Chapter 20\"/>
    </mc:Choice>
  </mc:AlternateContent>
  <bookViews>
    <workbookView showHorizontalScroll="0" showVerticalScroll="0" xWindow="0" yWindow="0" windowWidth="14250" windowHeight="7065"/>
  </bookViews>
  <sheets>
    <sheet name="Sheet1" sheetId="1" r:id="rId1"/>
    <sheet name="Commission" sheetId="2" r:id="rId2"/>
    <sheet name="JoinText" sheetId="9" r:id="rId3"/>
    <sheet name="TopAvg" sheetId="8" r:id="rId4"/>
    <sheet name="DrawOne" sheetId="4" r:id="rId5"/>
    <sheet name="IsLike" sheetId="10" r:id="rId6"/>
    <sheet name="NumberFormat" sheetId="12" r:id="rId7"/>
    <sheet name="ExtractElement" sheetId="11" r:id="rId8"/>
    <sheet name="SayIt" sheetId="13" r:id="rId9"/>
    <sheet name="MonthNames" sheetId="6" r:id="rId10"/>
    <sheet name="Sorted" sheetId="5" r:id="rId11"/>
  </sheets>
  <functionGroups builtInGroupCount="18"/>
  <calcPr calcId="152511"/>
  <extLst>
    <ext xmlns:x14="http://schemas.microsoft.com/office/spreadsheetml/2009/9/main" uri="{8193D73E-4604-4355-AFF4-8A2333D13BE4}">
      <x14:definedNames>
        <x14:definedName name="TopAvg">
          <x14:argumentDescriptions count="2">
            <x14:argumentDescription index="0">Range that contains the values</x14:argumentDescription>
            <x14:argumentDescription index="1">Value of 'n'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C10" i="13" l="1"/>
  <c r="A4" i="12"/>
  <c r="E1" i="13"/>
  <c r="C7" i="12"/>
  <c r="C6" i="12"/>
  <c r="C5" i="12"/>
  <c r="C2" i="12"/>
  <c r="C4" i="12"/>
  <c r="C3" i="12"/>
  <c r="C1" i="12"/>
  <c r="D4" i="11"/>
  <c r="D2" i="11"/>
  <c r="D3" i="11"/>
  <c r="D1" i="11"/>
  <c r="C5" i="10"/>
  <c r="C4" i="10"/>
  <c r="C3" i="10"/>
  <c r="C2" i="10"/>
  <c r="C1" i="10"/>
  <c r="C3" i="9"/>
  <c r="D20" i="2"/>
  <c r="C2" i="2"/>
  <c r="A2" i="6" a="1"/>
  <c r="C10" i="2"/>
  <c r="H5" i="8"/>
  <c r="D24" i="2"/>
  <c r="C6" i="2"/>
  <c r="H3" i="8"/>
  <c r="D27" i="2"/>
  <c r="D22" i="2"/>
  <c r="C4" i="2"/>
  <c r="C11" i="2"/>
  <c r="H4" i="8"/>
  <c r="C5" i="2"/>
  <c r="D23" i="2"/>
  <c r="D25" i="2"/>
  <c r="H8" i="8"/>
  <c r="D30" i="2"/>
  <c r="C13" i="2"/>
  <c r="D32" i="2"/>
  <c r="D28" i="2"/>
  <c r="D21" i="2"/>
  <c r="H6" i="8"/>
  <c r="D31" i="2"/>
  <c r="D26" i="2"/>
  <c r="G1" i="4"/>
  <c r="C14" i="2"/>
  <c r="B8" i="6" a="1"/>
  <c r="H9" i="8"/>
  <c r="C4" i="1"/>
  <c r="C8" i="2"/>
  <c r="D29" i="2"/>
  <c r="H2" i="8"/>
  <c r="C2" i="5" a="1"/>
  <c r="C7" i="2"/>
  <c r="H7" i="8"/>
  <c r="C9" i="2"/>
  <c r="C3" i="2"/>
  <c r="H10" i="8"/>
  <c r="B18" i="5" a="1"/>
  <c r="C12" i="2"/>
  <c r="C5" i="1"/>
  <c r="N5" i="6"/>
  <c r="N12" i="6"/>
  <c r="N2" i="6"/>
  <c r="N7" i="6"/>
  <c r="N3" i="6"/>
  <c r="N11" i="6"/>
  <c r="N10" i="6"/>
  <c r="N6" i="6"/>
  <c r="N13" i="6"/>
  <c r="N4" i="6"/>
  <c r="N8" i="6"/>
  <c r="N9" i="6"/>
  <c r="D9" i="11"/>
  <c r="D8" i="11"/>
  <c r="D6" i="11"/>
  <c r="D5" i="11"/>
  <c r="D7" i="11"/>
  <c r="G2" i="4"/>
  <c r="B10" i="6" l="1"/>
  <c r="B19" i="6"/>
  <c r="B18" i="6"/>
  <c r="B12" i="6"/>
  <c r="B15" i="6"/>
  <c r="B9" i="6"/>
  <c r="B8" i="6"/>
  <c r="B17" i="6"/>
  <c r="B16" i="6"/>
  <c r="B11" i="6"/>
  <c r="B13" i="6"/>
  <c r="B14" i="6"/>
  <c r="J18" i="5"/>
  <c r="G18" i="5"/>
  <c r="H18" i="5"/>
  <c r="E18" i="5"/>
  <c r="D18" i="5"/>
  <c r="M18" i="5"/>
  <c r="L18" i="5"/>
  <c r="I18" i="5"/>
  <c r="B18" i="5"/>
  <c r="K18" i="5"/>
  <c r="F18" i="5"/>
  <c r="C18" i="5"/>
  <c r="C4" i="5"/>
  <c r="C13" i="5"/>
  <c r="C12" i="5"/>
  <c r="C6" i="5"/>
  <c r="C9" i="5"/>
  <c r="C3" i="5"/>
  <c r="C2" i="5"/>
  <c r="C11" i="5"/>
  <c r="C10" i="5"/>
  <c r="C7" i="5"/>
  <c r="C8" i="5"/>
  <c r="C5" i="5"/>
  <c r="I2" i="6"/>
  <c r="F2" i="6"/>
  <c r="G2" i="6"/>
  <c r="D2" i="6"/>
  <c r="C2" i="6"/>
  <c r="L2" i="6"/>
  <c r="E2" i="6"/>
  <c r="H2" i="6"/>
  <c r="A2" i="6"/>
  <c r="J2" i="6"/>
  <c r="K2" i="6"/>
  <c r="B2" i="6"/>
</calcChain>
</file>

<file path=xl/sharedStrings.xml><?xml version="1.0" encoding="utf-8"?>
<sst xmlns="http://schemas.openxmlformats.org/spreadsheetml/2006/main" count="120" uniqueCount="86">
  <si>
    <t>This workbook contains several custom worksheet functions.</t>
  </si>
  <si>
    <t>FirstName()</t>
  </si>
  <si>
    <t>Commission(Sales)</t>
  </si>
  <si>
    <t>Commission2(Sales, Years)</t>
  </si>
  <si>
    <t>TopAvg(InRange, N)</t>
  </si>
  <si>
    <t>DrawOne(InRange, Optional Recalc)</t>
  </si>
  <si>
    <t>Concat(string1, string2,...)</t>
  </si>
  <si>
    <t>Name</t>
  </si>
  <si>
    <t>Sales</t>
  </si>
  <si>
    <t>Commission</t>
  </si>
  <si>
    <t>Adams</t>
  </si>
  <si>
    <t>Baker</t>
  </si>
  <si>
    <t>Douglas</t>
  </si>
  <si>
    <t>Emmett</t>
  </si>
  <si>
    <t>Franklin</t>
  </si>
  <si>
    <t>Johnson</t>
  </si>
  <si>
    <t>Kent</t>
  </si>
  <si>
    <t>Mays</t>
  </si>
  <si>
    <t>Quincy</t>
  </si>
  <si>
    <t>Randall</t>
  </si>
  <si>
    <t>Smith</t>
  </si>
  <si>
    <t>Walker</t>
  </si>
  <si>
    <t>Zeller</t>
  </si>
  <si>
    <t>Frank</t>
  </si>
  <si>
    <t>User()</t>
  </si>
  <si>
    <t>&lt;-- DrawOne</t>
  </si>
  <si>
    <t>&lt;-- DrawOne (volatile argument)</t>
  </si>
  <si>
    <t>Keith</t>
  </si>
  <si>
    <t>Jackie</t>
  </si>
  <si>
    <t>Mary</t>
  </si>
  <si>
    <t>Ann</t>
  </si>
  <si>
    <t>Louise</t>
  </si>
  <si>
    <t>Opie</t>
  </si>
  <si>
    <t>Ralph</t>
  </si>
  <si>
    <t>Abigail</t>
  </si>
  <si>
    <t>Darren</t>
  </si>
  <si>
    <t>Zola</t>
  </si>
  <si>
    <t>Tim</t>
  </si>
  <si>
    <t>Unsorted</t>
  </si>
  <si>
    <t>Sorted</t>
  </si>
  <si>
    <t>Commission2</t>
  </si>
  <si>
    <t>Years</t>
  </si>
  <si>
    <t>n</t>
  </si>
  <si>
    <t>TopAvg</t>
  </si>
  <si>
    <t>MonthNames()</t>
  </si>
  <si>
    <t>Sorted(Rng)</t>
  </si>
  <si>
    <t>JoinText(inRange)</t>
  </si>
  <si>
    <t>January</t>
  </si>
  <si>
    <t>February</t>
  </si>
  <si>
    <t>March</t>
  </si>
  <si>
    <t>April</t>
  </si>
  <si>
    <t>May</t>
  </si>
  <si>
    <t>June</t>
  </si>
  <si>
    <t>Returns TRUE, since * matches any number of characters. It will return TRUE if the first argument is any text that begins with "g".</t>
  </si>
  <si>
    <t>Returns TRUE since ? matches any single character. If the first argument were "Unit12", the function would return FALSE.</t>
  </si>
  <si>
    <t>Returns TRUE since the first argument is a single character in the second argument. To determine if a string contains multiple characters, see Contains.</t>
  </si>
  <si>
    <t>Returns TRUE since the first argument is a single character that's not in the second argument.</t>
  </si>
  <si>
    <t>guitar</t>
  </si>
  <si>
    <t>g*</t>
  </si>
  <si>
    <t>Unit1</t>
  </si>
  <si>
    <t>Unit?</t>
  </si>
  <si>
    <t>a</t>
  </si>
  <si>
    <t>[aeiou]</t>
  </si>
  <si>
    <t>g</t>
  </si>
  <si>
    <t>[!aeiou]</t>
  </si>
  <si>
    <t>1##</t>
  </si>
  <si>
    <t>Returns TRUE because 154 begins with 1 and has exactly three digits (i.e., any integer between 100 and 199)</t>
  </si>
  <si>
    <t>123-45-78</t>
  </si>
  <si>
    <t>-</t>
  </si>
  <si>
    <t>a b c d e f g</t>
  </si>
  <si>
    <t xml:space="preserve"> </t>
  </si>
  <si>
    <t>a   b       c                   d</t>
  </si>
  <si>
    <t>Bob Jones</t>
  </si>
  <si>
    <t>Total Budget:</t>
  </si>
  <si>
    <t xml:space="preserve">  &lt;-- voice will sound if this value exceeds 10,000</t>
  </si>
  <si>
    <t>Gomer</t>
  </si>
  <si>
    <t>IsLike(text, pattern)</t>
  </si>
  <si>
    <t>Extract Element (txt, n, Separator)</t>
  </si>
  <si>
    <t>SayIt (txt)</t>
  </si>
  <si>
    <t>NumberFormat (Cell)</t>
  </si>
  <si>
    <t>55/98/44/23</t>
  </si>
  <si>
    <t>/</t>
  </si>
  <si>
    <t>,</t>
  </si>
  <si>
    <t>1,2,3,4,5,6,7,8,9,10</t>
  </si>
  <si>
    <t>98--74--872--9823--23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</si>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</sst>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&quot;$&quot;#,##0.00"/>
    <numFmt numFmtId="165" formatCode="0.0"/>
  </numFmts>
  <fonts count="7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  <family val="2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4">
    <xf numFmtId="0" fontId="0" fillId="0" borderId="0" xfId="0"/>
    <xf numFmtId="164" fontId="0" fillId="0" borderId="0" xfId="0" applyNumberFormat="1"/>
    <xf numFmtId="0" fontId="3" fillId="0" borderId="0" xfId="0" applyFont="1"/>
    <xf numFmtId="0" fontId="0" fillId="0" borderId="0" xfId="0" quotePrefix="1"/>
    <xf numFmtId="0" fontId="2" fillId="2" borderId="0" xfId="0" applyFont="1" applyFill="1"/>
    <xf numFmtId="165" fontId="0" fillId="0" borderId="0" xfId="0" applyNumberFormat="1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0" fillId="0" borderId="1" xfId="0" applyNumberFormat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0" fontId="0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9" fontId="0" fillId="0" borderId="0" xfId="2" applyFont="1"/>
    <xf numFmtId="44" fontId="0" fillId="0" borderId="0" xfId="1" applyFont="1"/>
    <xf numFmtId="14" fontId="0" fillId="0" borderId="0" xfId="0" applyNumberFormat="1"/>
    <xf numFmtId="49" fontId="0" fillId="0" borderId="0" xfId="0" applyNumberFormat="1"/>
    <xf numFmtId="12" fontId="0" fillId="0" borderId="0" xfId="0" applyNumberFormat="1"/>
    <xf numFmtId="3" fontId="0" fillId="0" borderId="0" xfId="0" applyNumberFormat="1"/>
    <xf numFmtId="0" fontId="5" fillId="3" borderId="1" xfId="0" applyFont="1" applyFill="1" applyBorder="1" applyAlignment="1">
      <alignment horizontal="center"/>
    </xf>
  </cellXfs>
  <cellStyles count="3">
    <cellStyle name="Currency" xfId="1" builtinId="4"/>
    <cellStyle name="Normal" xfId="0" builtinId="0" customBuiltin="1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7"/>
  <sheetViews>
    <sheetView tabSelected="1" workbookViewId="0"/>
  </sheetViews>
  <sheetFormatPr defaultRowHeight="15" x14ac:dyDescent="0.25"/>
  <cols>
    <col min="1" max="1" width="5.28515625" customWidth="1"/>
    <col min="2" max="2" width="40.140625" customWidth="1"/>
    <col min="4" max="4" width="15.5703125" customWidth="1"/>
    <col min="5" max="5" width="11.28515625" customWidth="1"/>
    <col min="46" max="46" width="3.7109375" customWidth="1"/>
    <col min="227" max="227" width="4.85546875" customWidth="1"/>
  </cols>
  <sheetData>
    <row r="1" spans="1:3" x14ac:dyDescent="0.25">
      <c r="A1" s="2" t="s">
        <v>0</v>
      </c>
    </row>
    <row r="4" spans="1:3" x14ac:dyDescent="0.25">
      <c r="B4" t="s">
        <v>24</v>
      </c>
      <c r="C4" t="str">
        <f>user()</f>
        <v>John Walkenbach</v>
      </c>
    </row>
    <row r="5" spans="1:3" x14ac:dyDescent="0.25">
      <c r="B5" t="s">
        <v>1</v>
      </c>
      <c r="C5" t="str">
        <f>firstname()</f>
        <v>John</v>
      </c>
    </row>
    <row r="6" spans="1:3" x14ac:dyDescent="0.25">
      <c r="B6" t="s">
        <v>2</v>
      </c>
    </row>
    <row r="7" spans="1:3" x14ac:dyDescent="0.25">
      <c r="B7" t="s">
        <v>3</v>
      </c>
    </row>
    <row r="8" spans="1:3" x14ac:dyDescent="0.25">
      <c r="B8" t="s">
        <v>46</v>
      </c>
    </row>
    <row r="9" spans="1:3" x14ac:dyDescent="0.25">
      <c r="B9" t="s">
        <v>76</v>
      </c>
    </row>
    <row r="10" spans="1:3" x14ac:dyDescent="0.25">
      <c r="B10" t="s">
        <v>77</v>
      </c>
    </row>
    <row r="11" spans="1:3" x14ac:dyDescent="0.25">
      <c r="B11" t="s">
        <v>78</v>
      </c>
    </row>
    <row r="12" spans="1:3" x14ac:dyDescent="0.25">
      <c r="B12" t="s">
        <v>79</v>
      </c>
    </row>
    <row r="13" spans="1:3" x14ac:dyDescent="0.25">
      <c r="B13" t="s">
        <v>4</v>
      </c>
    </row>
    <row r="14" spans="1:3" x14ac:dyDescent="0.25">
      <c r="B14" t="s">
        <v>5</v>
      </c>
    </row>
    <row r="15" spans="1:3" x14ac:dyDescent="0.25">
      <c r="B15" t="s">
        <v>6</v>
      </c>
    </row>
    <row r="16" spans="1:3" x14ac:dyDescent="0.25">
      <c r="B16" t="s">
        <v>44</v>
      </c>
    </row>
    <row r="17" spans="2:2" x14ac:dyDescent="0.25">
      <c r="B17" t="s">
        <v>45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2"/>
  <sheetViews>
    <sheetView showGridLines="0" workbookViewId="0"/>
  </sheetViews>
  <sheetFormatPr defaultRowHeight="15" x14ac:dyDescent="0.25"/>
  <cols>
    <col min="1" max="1" width="11" customWidth="1"/>
    <col min="2" max="2" width="14.7109375" customWidth="1"/>
    <col min="3" max="3" width="11.7109375" customWidth="1"/>
    <col min="4" max="5" width="14.5703125" customWidth="1"/>
  </cols>
  <sheetData>
    <row r="1" spans="1:5" x14ac:dyDescent="0.25">
      <c r="A1" s="8" t="s">
        <v>7</v>
      </c>
      <c r="B1" s="8" t="s">
        <v>8</v>
      </c>
      <c r="C1" s="8" t="s">
        <v>9</v>
      </c>
    </row>
    <row r="2" spans="1:5" x14ac:dyDescent="0.25">
      <c r="A2" s="9" t="s">
        <v>10</v>
      </c>
      <c r="B2" s="10">
        <v>61983</v>
      </c>
      <c r="C2" s="10">
        <f>Commission(B2)</f>
        <v>8677.6200000000008</v>
      </c>
      <c r="E2" s="1"/>
    </row>
    <row r="3" spans="1:5" x14ac:dyDescent="0.25">
      <c r="A3" s="9" t="s">
        <v>11</v>
      </c>
      <c r="B3" s="10">
        <v>3506</v>
      </c>
      <c r="C3" s="10">
        <f t="shared" ref="C3:C14" si="0">Commission(B3)</f>
        <v>280.48</v>
      </c>
      <c r="E3" s="1"/>
    </row>
    <row r="4" spans="1:5" x14ac:dyDescent="0.25">
      <c r="A4" s="9" t="s">
        <v>12</v>
      </c>
      <c r="B4" s="10">
        <v>38973</v>
      </c>
      <c r="C4" s="10">
        <f t="shared" si="0"/>
        <v>4676.76</v>
      </c>
      <c r="E4" s="1"/>
    </row>
    <row r="5" spans="1:5" x14ac:dyDescent="0.25">
      <c r="A5" s="9" t="s">
        <v>13</v>
      </c>
      <c r="B5" s="10">
        <v>32092</v>
      </c>
      <c r="C5" s="10">
        <f t="shared" si="0"/>
        <v>3851.04</v>
      </c>
      <c r="E5" s="1"/>
    </row>
    <row r="6" spans="1:5" x14ac:dyDescent="0.25">
      <c r="A6" s="9" t="s">
        <v>14</v>
      </c>
      <c r="B6" s="10">
        <v>27354</v>
      </c>
      <c r="C6" s="10">
        <f t="shared" si="0"/>
        <v>3282.48</v>
      </c>
      <c r="E6" s="1"/>
    </row>
    <row r="7" spans="1:5" x14ac:dyDescent="0.25">
      <c r="A7" s="9" t="s">
        <v>15</v>
      </c>
      <c r="B7" s="10">
        <v>17833</v>
      </c>
      <c r="C7" s="10">
        <f t="shared" si="0"/>
        <v>1872.46</v>
      </c>
      <c r="E7" s="1"/>
    </row>
    <row r="8" spans="1:5" x14ac:dyDescent="0.25">
      <c r="A8" s="9" t="s">
        <v>16</v>
      </c>
      <c r="B8" s="10">
        <v>41598</v>
      </c>
      <c r="C8" s="10">
        <f t="shared" si="0"/>
        <v>5823.72</v>
      </c>
      <c r="E8" s="1"/>
    </row>
    <row r="9" spans="1:5" x14ac:dyDescent="0.25">
      <c r="A9" s="9" t="s">
        <v>17</v>
      </c>
      <c r="B9" s="10">
        <v>32000</v>
      </c>
      <c r="C9" s="10">
        <f t="shared" si="0"/>
        <v>3840</v>
      </c>
      <c r="E9" s="1"/>
    </row>
    <row r="10" spans="1:5" x14ac:dyDescent="0.25">
      <c r="A10" s="9" t="s">
        <v>18</v>
      </c>
      <c r="B10" s="10">
        <v>5000</v>
      </c>
      <c r="C10" s="10">
        <f t="shared" si="0"/>
        <v>400</v>
      </c>
      <c r="E10" s="1"/>
    </row>
    <row r="11" spans="1:5" x14ac:dyDescent="0.25">
      <c r="A11" s="9" t="s">
        <v>19</v>
      </c>
      <c r="B11" s="10">
        <v>68793</v>
      </c>
      <c r="C11" s="10">
        <f t="shared" si="0"/>
        <v>9631.02</v>
      </c>
      <c r="E11" s="1"/>
    </row>
    <row r="12" spans="1:5" x14ac:dyDescent="0.25">
      <c r="A12" s="9" t="s">
        <v>20</v>
      </c>
      <c r="B12" s="10">
        <v>31093</v>
      </c>
      <c r="C12" s="10">
        <f t="shared" si="0"/>
        <v>3731.16</v>
      </c>
      <c r="E12" s="1"/>
    </row>
    <row r="13" spans="1:5" x14ac:dyDescent="0.25">
      <c r="A13" s="9" t="s">
        <v>21</v>
      </c>
      <c r="B13" s="10">
        <v>24509</v>
      </c>
      <c r="C13" s="10">
        <f t="shared" si="0"/>
        <v>2941.08</v>
      </c>
      <c r="E13" s="1"/>
    </row>
    <row r="14" spans="1:5" x14ac:dyDescent="0.25">
      <c r="A14" s="9" t="s">
        <v>22</v>
      </c>
      <c r="B14" s="10">
        <v>41544</v>
      </c>
      <c r="C14" s="10">
        <f t="shared" si="0"/>
        <v>5816.16</v>
      </c>
      <c r="E14" s="1"/>
    </row>
    <row r="19" spans="1:4" x14ac:dyDescent="0.25">
      <c r="A19" s="8" t="s">
        <v>7</v>
      </c>
      <c r="B19" s="8" t="s">
        <v>8</v>
      </c>
      <c r="C19" s="8" t="s">
        <v>41</v>
      </c>
      <c r="D19" s="8" t="s">
        <v>40</v>
      </c>
    </row>
    <row r="20" spans="1:4" x14ac:dyDescent="0.25">
      <c r="A20" s="9" t="s">
        <v>10</v>
      </c>
      <c r="B20" s="10">
        <v>61983</v>
      </c>
      <c r="C20" s="11">
        <v>4</v>
      </c>
      <c r="D20" s="10">
        <f>Commission2(B20,C20)</f>
        <v>9024.7199999999993</v>
      </c>
    </row>
    <row r="21" spans="1:4" x14ac:dyDescent="0.25">
      <c r="A21" s="9" t="s">
        <v>11</v>
      </c>
      <c r="B21" s="10">
        <v>3506</v>
      </c>
      <c r="C21" s="11">
        <v>3</v>
      </c>
      <c r="D21" s="10">
        <f t="shared" ref="D21:D32" si="1">Commission2(B21,C21)</f>
        <v>288.89</v>
      </c>
    </row>
    <row r="22" spans="1:4" x14ac:dyDescent="0.25">
      <c r="A22" s="9" t="s">
        <v>12</v>
      </c>
      <c r="B22" s="10">
        <v>38973</v>
      </c>
      <c r="C22" s="11">
        <v>2</v>
      </c>
      <c r="D22" s="10">
        <f t="shared" si="1"/>
        <v>4770.3</v>
      </c>
    </row>
    <row r="23" spans="1:4" x14ac:dyDescent="0.25">
      <c r="A23" s="9" t="s">
        <v>13</v>
      </c>
      <c r="B23" s="10">
        <v>32092</v>
      </c>
      <c r="C23" s="11">
        <v>1</v>
      </c>
      <c r="D23" s="10">
        <f t="shared" si="1"/>
        <v>3889.55</v>
      </c>
    </row>
    <row r="24" spans="1:4" x14ac:dyDescent="0.25">
      <c r="A24" s="9" t="s">
        <v>14</v>
      </c>
      <c r="B24" s="10">
        <v>27354</v>
      </c>
      <c r="C24" s="11">
        <v>8</v>
      </c>
      <c r="D24" s="10">
        <f t="shared" si="1"/>
        <v>3545.08</v>
      </c>
    </row>
    <row r="25" spans="1:4" x14ac:dyDescent="0.25">
      <c r="A25" s="9" t="s">
        <v>15</v>
      </c>
      <c r="B25" s="10">
        <v>17833</v>
      </c>
      <c r="C25" s="11">
        <v>3</v>
      </c>
      <c r="D25" s="10">
        <f t="shared" si="1"/>
        <v>1928.64</v>
      </c>
    </row>
    <row r="26" spans="1:4" x14ac:dyDescent="0.25">
      <c r="A26" s="9" t="s">
        <v>16</v>
      </c>
      <c r="B26" s="10">
        <v>41598</v>
      </c>
      <c r="C26" s="11">
        <v>2</v>
      </c>
      <c r="D26" s="10">
        <f t="shared" si="1"/>
        <v>5940.19</v>
      </c>
    </row>
    <row r="27" spans="1:4" x14ac:dyDescent="0.25">
      <c r="A27" s="9" t="s">
        <v>17</v>
      </c>
      <c r="B27" s="10">
        <v>32000</v>
      </c>
      <c r="C27" s="11">
        <v>1</v>
      </c>
      <c r="D27" s="10">
        <f t="shared" si="1"/>
        <v>3878.4</v>
      </c>
    </row>
    <row r="28" spans="1:4" x14ac:dyDescent="0.25">
      <c r="A28" s="9" t="s">
        <v>18</v>
      </c>
      <c r="B28" s="10">
        <v>5000</v>
      </c>
      <c r="C28" s="11">
        <v>1</v>
      </c>
      <c r="D28" s="10">
        <f t="shared" si="1"/>
        <v>404</v>
      </c>
    </row>
    <row r="29" spans="1:4" x14ac:dyDescent="0.25">
      <c r="A29" s="9" t="s">
        <v>19</v>
      </c>
      <c r="B29" s="10">
        <v>68793</v>
      </c>
      <c r="C29" s="11">
        <v>4</v>
      </c>
      <c r="D29" s="10">
        <f t="shared" si="1"/>
        <v>10016.26</v>
      </c>
    </row>
    <row r="30" spans="1:4" x14ac:dyDescent="0.25">
      <c r="A30" s="9" t="s">
        <v>20</v>
      </c>
      <c r="B30" s="10">
        <v>31093</v>
      </c>
      <c r="C30" s="11">
        <v>2</v>
      </c>
      <c r="D30" s="10">
        <f t="shared" si="1"/>
        <v>3805.78</v>
      </c>
    </row>
    <row r="31" spans="1:4" x14ac:dyDescent="0.25">
      <c r="A31" s="9" t="s">
        <v>21</v>
      </c>
      <c r="B31" s="10">
        <v>24509</v>
      </c>
      <c r="C31" s="11">
        <v>2</v>
      </c>
      <c r="D31" s="10">
        <f t="shared" si="1"/>
        <v>2999.9</v>
      </c>
    </row>
    <row r="32" spans="1:4" x14ac:dyDescent="0.25">
      <c r="A32" s="9" t="s">
        <v>22</v>
      </c>
      <c r="B32" s="10">
        <v>41544</v>
      </c>
      <c r="C32" s="11">
        <v>3</v>
      </c>
      <c r="D32" s="10">
        <f t="shared" si="1"/>
        <v>5990.64</v>
      </c>
    </row>
  </sheetData>
  <phoneticPr fontId="1" type="noConversion"/>
  <pageMargins left="0.75" right="0.75" top="1" bottom="1" header="0.5" footer="0.5"/>
  <pageSetup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"/>
  <sheetViews>
    <sheetView workbookViewId="0"/>
  </sheetViews>
  <sheetFormatPr defaultRowHeight="15" x14ac:dyDescent="0.25"/>
  <cols>
    <col min="1" max="1" width="11.42578125" customWidth="1"/>
  </cols>
  <sheetData>
    <row r="1" spans="1:3" x14ac:dyDescent="0.25">
      <c r="A1" t="s">
        <v>47</v>
      </c>
    </row>
    <row r="2" spans="1:3" x14ac:dyDescent="0.25">
      <c r="A2" t="s">
        <v>48</v>
      </c>
    </row>
    <row r="3" spans="1:3" x14ac:dyDescent="0.25">
      <c r="A3" t="s">
        <v>49</v>
      </c>
      <c r="C3" t="str">
        <f>JoinText(A1:A6,", ")</f>
        <v>January, February, March, April, May, June</v>
      </c>
    </row>
    <row r="4" spans="1:3" x14ac:dyDescent="0.25">
      <c r="A4" t="s">
        <v>50</v>
      </c>
    </row>
    <row r="5" spans="1:3" x14ac:dyDescent="0.25">
      <c r="A5" t="s">
        <v>51</v>
      </c>
    </row>
    <row r="6" spans="1:3" x14ac:dyDescent="0.25">
      <c r="A6" t="s">
        <v>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8"/>
  <sheetViews>
    <sheetView workbookViewId="0"/>
  </sheetViews>
  <sheetFormatPr defaultRowHeight="15" x14ac:dyDescent="0.25"/>
  <cols>
    <col min="1" max="1" width="12.5703125" customWidth="1"/>
  </cols>
  <sheetData>
    <row r="1" spans="1:8" x14ac:dyDescent="0.25">
      <c r="A1">
        <v>707</v>
      </c>
      <c r="B1">
        <v>625</v>
      </c>
      <c r="C1">
        <v>754</v>
      </c>
      <c r="D1">
        <v>805</v>
      </c>
      <c r="E1">
        <v>709</v>
      </c>
      <c r="G1" s="6" t="s">
        <v>42</v>
      </c>
      <c r="H1" s="4" t="s">
        <v>43</v>
      </c>
    </row>
    <row r="2" spans="1:8" x14ac:dyDescent="0.25">
      <c r="A2">
        <v>549</v>
      </c>
      <c r="B2">
        <v>62</v>
      </c>
      <c r="C2">
        <v>931</v>
      </c>
      <c r="D2">
        <v>502</v>
      </c>
      <c r="E2">
        <v>117</v>
      </c>
      <c r="G2" s="7">
        <v>2</v>
      </c>
      <c r="H2" s="5">
        <f>TopAvg(A1:E18,G2)</f>
        <v>986.5</v>
      </c>
    </row>
    <row r="3" spans="1:8" x14ac:dyDescent="0.25">
      <c r="A3">
        <v>990</v>
      </c>
      <c r="B3">
        <v>152</v>
      </c>
      <c r="C3">
        <v>340</v>
      </c>
      <c r="D3">
        <v>822</v>
      </c>
      <c r="E3">
        <v>3</v>
      </c>
      <c r="G3" s="7">
        <v>3</v>
      </c>
      <c r="H3" s="5">
        <f t="shared" ref="H3:H10" si="0">TopAvg(A2:E20,G3)</f>
        <v>979.66666666666663</v>
      </c>
    </row>
    <row r="4" spans="1:8" x14ac:dyDescent="0.25">
      <c r="A4">
        <v>514</v>
      </c>
      <c r="B4">
        <v>900</v>
      </c>
      <c r="C4">
        <v>515</v>
      </c>
      <c r="D4">
        <v>711</v>
      </c>
      <c r="E4">
        <v>167</v>
      </c>
      <c r="G4" s="7">
        <v>4</v>
      </c>
      <c r="H4" s="5">
        <f t="shared" si="0"/>
        <v>974.5</v>
      </c>
    </row>
    <row r="5" spans="1:8" x14ac:dyDescent="0.25">
      <c r="A5">
        <v>114</v>
      </c>
      <c r="B5">
        <v>703</v>
      </c>
      <c r="C5">
        <v>845</v>
      </c>
      <c r="D5">
        <v>342</v>
      </c>
      <c r="E5">
        <v>734</v>
      </c>
      <c r="G5" s="7">
        <v>5</v>
      </c>
      <c r="H5" s="5">
        <f t="shared" si="0"/>
        <v>949.2</v>
      </c>
    </row>
    <row r="6" spans="1:8" x14ac:dyDescent="0.25">
      <c r="A6">
        <v>901</v>
      </c>
      <c r="B6">
        <v>803</v>
      </c>
      <c r="C6">
        <v>182</v>
      </c>
      <c r="D6">
        <v>922</v>
      </c>
      <c r="E6">
        <v>770</v>
      </c>
      <c r="G6" s="7">
        <v>6</v>
      </c>
      <c r="H6" s="5">
        <f>TopAvg(A5:E23,G6)</f>
        <v>941.16666666666663</v>
      </c>
    </row>
    <row r="7" spans="1:8" x14ac:dyDescent="0.25">
      <c r="A7">
        <v>725</v>
      </c>
      <c r="B7">
        <v>247</v>
      </c>
      <c r="C7">
        <v>983</v>
      </c>
      <c r="D7">
        <v>966</v>
      </c>
      <c r="E7">
        <v>419</v>
      </c>
      <c r="G7" s="7">
        <v>7</v>
      </c>
      <c r="H7" s="5">
        <f t="shared" si="0"/>
        <v>931.71428571428567</v>
      </c>
    </row>
    <row r="8" spans="1:8" x14ac:dyDescent="0.25">
      <c r="A8">
        <v>816</v>
      </c>
      <c r="B8">
        <v>916</v>
      </c>
      <c r="C8">
        <v>715</v>
      </c>
      <c r="D8">
        <v>875</v>
      </c>
      <c r="E8">
        <v>665</v>
      </c>
      <c r="G8" s="7">
        <v>8</v>
      </c>
      <c r="H8" s="5">
        <f t="shared" si="0"/>
        <v>907</v>
      </c>
    </row>
    <row r="9" spans="1:8" x14ac:dyDescent="0.25">
      <c r="A9">
        <v>34</v>
      </c>
      <c r="B9">
        <v>377</v>
      </c>
      <c r="C9">
        <v>646</v>
      </c>
      <c r="D9">
        <v>388</v>
      </c>
      <c r="E9">
        <v>11</v>
      </c>
      <c r="G9" s="7">
        <v>9</v>
      </c>
      <c r="H9" s="5">
        <f t="shared" si="0"/>
        <v>862</v>
      </c>
    </row>
    <row r="10" spans="1:8" x14ac:dyDescent="0.25">
      <c r="A10">
        <v>200</v>
      </c>
      <c r="B10">
        <v>173</v>
      </c>
      <c r="C10">
        <v>261</v>
      </c>
      <c r="D10">
        <v>768</v>
      </c>
      <c r="E10">
        <v>797</v>
      </c>
      <c r="G10" s="7">
        <v>10</v>
      </c>
      <c r="H10" s="5">
        <f t="shared" si="0"/>
        <v>820.6</v>
      </c>
    </row>
    <row r="11" spans="1:8" x14ac:dyDescent="0.25">
      <c r="A11">
        <v>239</v>
      </c>
      <c r="B11">
        <v>856</v>
      </c>
      <c r="C11">
        <v>387</v>
      </c>
      <c r="D11">
        <v>179</v>
      </c>
      <c r="E11">
        <v>722</v>
      </c>
    </row>
    <row r="12" spans="1:8" x14ac:dyDescent="0.25">
      <c r="A12">
        <v>789</v>
      </c>
      <c r="B12">
        <v>107</v>
      </c>
      <c r="C12">
        <v>769</v>
      </c>
      <c r="D12">
        <v>857</v>
      </c>
      <c r="E12">
        <v>656</v>
      </c>
    </row>
    <row r="13" spans="1:8" x14ac:dyDescent="0.25">
      <c r="A13">
        <v>844</v>
      </c>
      <c r="B13">
        <v>583</v>
      </c>
      <c r="C13">
        <v>729</v>
      </c>
      <c r="D13">
        <v>479</v>
      </c>
      <c r="E13">
        <v>181</v>
      </c>
    </row>
    <row r="14" spans="1:8" x14ac:dyDescent="0.25">
      <c r="A14">
        <v>659</v>
      </c>
      <c r="B14">
        <v>401</v>
      </c>
      <c r="C14">
        <v>623</v>
      </c>
      <c r="D14">
        <v>119</v>
      </c>
      <c r="E14">
        <v>99</v>
      </c>
    </row>
    <row r="15" spans="1:8" x14ac:dyDescent="0.25">
      <c r="A15">
        <v>621</v>
      </c>
      <c r="B15">
        <v>838</v>
      </c>
      <c r="C15">
        <v>643</v>
      </c>
      <c r="D15">
        <v>506</v>
      </c>
      <c r="E15">
        <v>959</v>
      </c>
    </row>
    <row r="16" spans="1:8" x14ac:dyDescent="0.25">
      <c r="A16">
        <v>499</v>
      </c>
      <c r="B16">
        <v>100</v>
      </c>
      <c r="C16">
        <v>205</v>
      </c>
      <c r="D16">
        <v>52</v>
      </c>
      <c r="E16">
        <v>324</v>
      </c>
    </row>
    <row r="17" spans="1:5" x14ac:dyDescent="0.25">
      <c r="A17">
        <v>171</v>
      </c>
      <c r="B17">
        <v>561</v>
      </c>
      <c r="C17">
        <v>91</v>
      </c>
      <c r="D17">
        <v>249</v>
      </c>
      <c r="E17">
        <v>207</v>
      </c>
    </row>
    <row r="18" spans="1:5" x14ac:dyDescent="0.25">
      <c r="A18">
        <v>124</v>
      </c>
      <c r="B18">
        <v>726</v>
      </c>
      <c r="C18">
        <v>373</v>
      </c>
      <c r="D18">
        <v>100</v>
      </c>
      <c r="E18">
        <v>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4"/>
  <sheetViews>
    <sheetView workbookViewId="0"/>
  </sheetViews>
  <sheetFormatPr defaultRowHeight="15" x14ac:dyDescent="0.25"/>
  <cols>
    <col min="8" max="8" width="30.42578125" customWidth="1"/>
  </cols>
  <sheetData>
    <row r="1" spans="1:8" x14ac:dyDescent="0.25">
      <c r="A1">
        <v>43</v>
      </c>
      <c r="B1">
        <v>37</v>
      </c>
      <c r="C1">
        <v>22</v>
      </c>
      <c r="D1">
        <v>24</v>
      </c>
      <c r="E1">
        <v>12</v>
      </c>
      <c r="G1">
        <f>DrawOne(A1:E14,0)</f>
        <v>86</v>
      </c>
      <c r="H1" t="s">
        <v>25</v>
      </c>
    </row>
    <row r="2" spans="1:8" x14ac:dyDescent="0.25">
      <c r="A2">
        <v>87</v>
      </c>
      <c r="B2">
        <v>53</v>
      </c>
      <c r="C2">
        <v>74</v>
      </c>
      <c r="D2">
        <v>63</v>
      </c>
      <c r="E2">
        <v>40</v>
      </c>
      <c r="G2" s="3">
        <f ca="1">DrawOne(A1:E14,1)</f>
        <v>82</v>
      </c>
      <c r="H2" t="s">
        <v>26</v>
      </c>
    </row>
    <row r="3" spans="1:8" x14ac:dyDescent="0.25">
      <c r="A3">
        <v>8</v>
      </c>
      <c r="B3">
        <v>62</v>
      </c>
      <c r="C3">
        <v>82</v>
      </c>
      <c r="D3">
        <v>44</v>
      </c>
      <c r="E3">
        <v>85</v>
      </c>
    </row>
    <row r="4" spans="1:8" x14ac:dyDescent="0.25">
      <c r="A4">
        <v>93</v>
      </c>
      <c r="B4">
        <v>55</v>
      </c>
      <c r="C4">
        <v>39</v>
      </c>
      <c r="D4">
        <v>87</v>
      </c>
      <c r="E4">
        <v>26</v>
      </c>
    </row>
    <row r="5" spans="1:8" x14ac:dyDescent="0.25">
      <c r="A5">
        <v>95</v>
      </c>
      <c r="B5">
        <v>1</v>
      </c>
      <c r="C5">
        <v>54</v>
      </c>
      <c r="D5">
        <v>72</v>
      </c>
      <c r="E5">
        <v>95</v>
      </c>
    </row>
    <row r="6" spans="1:8" x14ac:dyDescent="0.25">
      <c r="A6">
        <v>74</v>
      </c>
      <c r="B6">
        <v>20</v>
      </c>
      <c r="C6">
        <v>71</v>
      </c>
      <c r="D6">
        <v>91</v>
      </c>
      <c r="E6">
        <v>68</v>
      </c>
    </row>
    <row r="7" spans="1:8" x14ac:dyDescent="0.25">
      <c r="A7">
        <v>10</v>
      </c>
      <c r="B7">
        <v>33</v>
      </c>
      <c r="C7">
        <v>66</v>
      </c>
      <c r="D7">
        <v>86</v>
      </c>
      <c r="E7">
        <v>7</v>
      </c>
    </row>
    <row r="8" spans="1:8" x14ac:dyDescent="0.25">
      <c r="A8">
        <v>1</v>
      </c>
      <c r="B8">
        <v>2</v>
      </c>
      <c r="C8">
        <v>22</v>
      </c>
      <c r="D8">
        <v>17</v>
      </c>
      <c r="E8">
        <v>77</v>
      </c>
    </row>
    <row r="9" spans="1:8" x14ac:dyDescent="0.25">
      <c r="A9">
        <v>33</v>
      </c>
      <c r="B9">
        <v>33</v>
      </c>
      <c r="C9">
        <v>57</v>
      </c>
      <c r="D9">
        <v>8</v>
      </c>
      <c r="E9">
        <v>16</v>
      </c>
    </row>
    <row r="10" spans="1:8" x14ac:dyDescent="0.25">
      <c r="A10">
        <v>43</v>
      </c>
      <c r="B10">
        <v>93</v>
      </c>
      <c r="C10">
        <v>88</v>
      </c>
      <c r="D10">
        <v>8</v>
      </c>
      <c r="E10">
        <v>5</v>
      </c>
    </row>
    <row r="11" spans="1:8" x14ac:dyDescent="0.25">
      <c r="A11">
        <v>2</v>
      </c>
      <c r="B11">
        <v>65</v>
      </c>
      <c r="C11">
        <v>56</v>
      </c>
      <c r="D11">
        <v>45</v>
      </c>
      <c r="E11">
        <v>43</v>
      </c>
    </row>
    <row r="12" spans="1:8" x14ac:dyDescent="0.25">
      <c r="A12">
        <v>76</v>
      </c>
      <c r="B12">
        <v>24</v>
      </c>
      <c r="C12">
        <v>16</v>
      </c>
      <c r="D12">
        <v>80</v>
      </c>
      <c r="E12">
        <v>59</v>
      </c>
    </row>
    <row r="13" spans="1:8" x14ac:dyDescent="0.25">
      <c r="A13">
        <v>57</v>
      </c>
      <c r="B13">
        <v>93</v>
      </c>
      <c r="C13">
        <v>29</v>
      </c>
      <c r="D13">
        <v>91</v>
      </c>
      <c r="E13">
        <v>34</v>
      </c>
    </row>
    <row r="14" spans="1:8" x14ac:dyDescent="0.25">
      <c r="A14">
        <v>32</v>
      </c>
      <c r="B14">
        <v>55</v>
      </c>
      <c r="C14">
        <v>76</v>
      </c>
      <c r="D14">
        <v>10</v>
      </c>
      <c r="E14">
        <v>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5"/>
  <sheetViews>
    <sheetView workbookViewId="0"/>
  </sheetViews>
  <sheetFormatPr defaultRowHeight="15" x14ac:dyDescent="0.25"/>
  <cols>
    <col min="1" max="1" width="11" customWidth="1"/>
    <col min="3" max="3" width="19.140625" customWidth="1"/>
    <col min="4" max="4" width="94.85546875" customWidth="1"/>
  </cols>
  <sheetData>
    <row r="1" spans="1:4" x14ac:dyDescent="0.25">
      <c r="A1" s="13" t="s">
        <v>57</v>
      </c>
      <c r="B1" s="15" t="s">
        <v>58</v>
      </c>
      <c r="C1" s="12" t="b">
        <f>ISLIKE(A1,B1)</f>
        <v>1</v>
      </c>
      <c r="D1" t="s">
        <v>53</v>
      </c>
    </row>
    <row r="2" spans="1:4" x14ac:dyDescent="0.25">
      <c r="A2" s="13" t="s">
        <v>59</v>
      </c>
      <c r="B2" s="15" t="s">
        <v>60</v>
      </c>
      <c r="C2" s="12" t="b">
        <f>ISLIKE(A2,B2)</f>
        <v>1</v>
      </c>
      <c r="D2" t="s">
        <v>54</v>
      </c>
    </row>
    <row r="3" spans="1:4" x14ac:dyDescent="0.25">
      <c r="A3" s="13" t="s">
        <v>61</v>
      </c>
      <c r="B3" s="15" t="s">
        <v>62</v>
      </c>
      <c r="C3" s="12" t="b">
        <f>ISLIKE(A3,B3)</f>
        <v>1</v>
      </c>
      <c r="D3" t="s">
        <v>55</v>
      </c>
    </row>
    <row r="4" spans="1:4" x14ac:dyDescent="0.25">
      <c r="A4" s="14" t="s">
        <v>63</v>
      </c>
      <c r="B4" s="16" t="s">
        <v>64</v>
      </c>
      <c r="C4" s="12" t="b">
        <f>ISLIKE(A4,B4)</f>
        <v>1</v>
      </c>
      <c r="D4" t="s">
        <v>56</v>
      </c>
    </row>
    <row r="5" spans="1:4" x14ac:dyDescent="0.25">
      <c r="A5" s="14">
        <v>154</v>
      </c>
      <c r="B5" s="16" t="s">
        <v>65</v>
      </c>
      <c r="C5" s="12" t="b">
        <f>ISLIKE(A5,B5)</f>
        <v>1</v>
      </c>
      <c r="D5" t="s">
        <v>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7"/>
  <sheetViews>
    <sheetView workbookViewId="0"/>
  </sheetViews>
  <sheetFormatPr defaultRowHeight="15" x14ac:dyDescent="0.25"/>
  <cols>
    <col min="1" max="1" width="16.85546875" customWidth="1"/>
    <col min="2" max="2" width="6.7109375" customWidth="1"/>
    <col min="3" max="3" width="50.42578125" customWidth="1"/>
  </cols>
  <sheetData>
    <row r="1" spans="1:3" x14ac:dyDescent="0.25">
      <c r="A1" s="17">
        <v>312.54000000000002</v>
      </c>
      <c r="C1" t="str">
        <f t="shared" ref="C1:C7" si="0">NumberFormat(A1)</f>
        <v>0%</v>
      </c>
    </row>
    <row r="2" spans="1:3" x14ac:dyDescent="0.25">
      <c r="A2" s="18">
        <v>12.32</v>
      </c>
      <c r="C2" t="str">
        <f t="shared" si="0"/>
        <v>_($* #,##0.00_);_($* (#,##0.00);_($* "-"??_);_(@_)</v>
      </c>
    </row>
    <row r="3" spans="1:3" x14ac:dyDescent="0.25">
      <c r="A3">
        <v>9.1999999999999993</v>
      </c>
      <c r="C3" t="str">
        <f t="shared" si="0"/>
        <v>General</v>
      </c>
    </row>
    <row r="4" spans="1:3" x14ac:dyDescent="0.25">
      <c r="A4" s="19">
        <f ca="1">TODAY()</f>
        <v>41242</v>
      </c>
      <c r="C4" t="str">
        <f t="shared" si="0"/>
        <v>m/d/yyyy</v>
      </c>
    </row>
    <row r="5" spans="1:3" x14ac:dyDescent="0.25">
      <c r="A5">
        <v>54</v>
      </c>
      <c r="C5" t="str">
        <f t="shared" si="0"/>
        <v>General</v>
      </c>
    </row>
    <row r="6" spans="1:3" x14ac:dyDescent="0.25">
      <c r="A6" s="20">
        <v>55.2</v>
      </c>
      <c r="C6" t="str">
        <f t="shared" si="0"/>
        <v>@</v>
      </c>
    </row>
    <row r="7" spans="1:3" x14ac:dyDescent="0.25">
      <c r="A7" s="21">
        <v>1.125</v>
      </c>
      <c r="C7" t="str">
        <f t="shared" si="0"/>
        <v># ?/?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9"/>
  <sheetViews>
    <sheetView workbookViewId="0"/>
  </sheetViews>
  <sheetFormatPr defaultRowHeight="15" x14ac:dyDescent="0.25"/>
  <cols>
    <col min="1" max="1" width="23.85546875" customWidth="1"/>
  </cols>
  <sheetData>
    <row r="1" spans="1:4" x14ac:dyDescent="0.25">
      <c r="A1" t="s">
        <v>67</v>
      </c>
      <c r="B1">
        <v>2</v>
      </c>
      <c r="C1" t="s">
        <v>68</v>
      </c>
      <c r="D1" t="str">
        <f>ExtractElement(A1,B1,C1)</f>
        <v>45</v>
      </c>
    </row>
    <row r="2" spans="1:4" x14ac:dyDescent="0.25">
      <c r="A2" t="s">
        <v>69</v>
      </c>
      <c r="B2">
        <v>3</v>
      </c>
      <c r="C2" t="s">
        <v>70</v>
      </c>
      <c r="D2" t="str">
        <f t="shared" ref="D2:D4" si="0">ExtractElement(A2,B2,C2)</f>
        <v>c</v>
      </c>
    </row>
    <row r="3" spans="1:4" x14ac:dyDescent="0.25">
      <c r="A3" t="s">
        <v>71</v>
      </c>
      <c r="B3">
        <v>3</v>
      </c>
      <c r="C3" t="s">
        <v>70</v>
      </c>
      <c r="D3" t="str">
        <f t="shared" si="0"/>
        <v>c</v>
      </c>
    </row>
    <row r="4" spans="1:4" x14ac:dyDescent="0.25">
      <c r="A4" t="s">
        <v>72</v>
      </c>
      <c r="B4">
        <v>1</v>
      </c>
      <c r="C4" t="s">
        <v>70</v>
      </c>
      <c r="D4" t="str">
        <f t="shared" si="0"/>
        <v>Bob</v>
      </c>
    </row>
    <row r="5" spans="1:4" x14ac:dyDescent="0.25">
      <c r="A5" t="s">
        <v>72</v>
      </c>
      <c r="B5">
        <v>2</v>
      </c>
      <c r="C5" t="s">
        <v>70</v>
      </c>
      <c r="D5" t="str">
        <f t="shared" ref="D5:D6" si="1">ExtractElement(A5,B5,C5)</f>
        <v>Jones</v>
      </c>
    </row>
    <row r="6" spans="1:4" x14ac:dyDescent="0.25">
      <c r="A6" t="s">
        <v>72</v>
      </c>
      <c r="B6">
        <v>3</v>
      </c>
      <c r="C6" t="s">
        <v>70</v>
      </c>
      <c r="D6" t="e">
        <f t="shared" si="1"/>
        <v>#VALUE!</v>
      </c>
    </row>
    <row r="7" spans="1:4" x14ac:dyDescent="0.25">
      <c r="A7" t="s">
        <v>80</v>
      </c>
      <c r="B7">
        <v>3</v>
      </c>
      <c r="C7" s="3" t="s">
        <v>81</v>
      </c>
      <c r="D7" t="str">
        <f t="shared" ref="D7" si="2">ExtractElement(A7,B7,C7)</f>
        <v>44</v>
      </c>
    </row>
    <row r="8" spans="1:4" x14ac:dyDescent="0.25">
      <c r="A8" t="s">
        <v>83</v>
      </c>
      <c r="B8">
        <v>5</v>
      </c>
      <c r="C8" s="3" t="s">
        <v>82</v>
      </c>
      <c r="D8" t="str">
        <f t="shared" ref="D8" si="3">ExtractElement(A8,B8,C8)</f>
        <v>5</v>
      </c>
    </row>
    <row r="9" spans="1:4" x14ac:dyDescent="0.25">
      <c r="A9" t="s">
        <v>84</v>
      </c>
      <c r="B9">
        <v>3</v>
      </c>
      <c r="C9" s="3" t="s">
        <v>85</v>
      </c>
      <c r="D9" t="str">
        <f t="shared" ref="D9" si="4">ExtractElement(A9,B9,C9)</f>
        <v>872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5" x14ac:dyDescent="0.25"/>
  <sheetData>
    <row r="1" spans="1:5" x14ac:dyDescent="0.25">
      <c r="C1" s="22">
        <v>1000</v>
      </c>
      <c r="E1" s="23" t="str">
        <f>IF(C10&gt;10000,SAYIT("Over budget"),"OK")</f>
        <v>OK</v>
      </c>
    </row>
    <row r="2" spans="1:5" x14ac:dyDescent="0.25">
      <c r="C2" s="22">
        <v>1000</v>
      </c>
    </row>
    <row r="3" spans="1:5" x14ac:dyDescent="0.25">
      <c r="C3" s="22">
        <v>1000</v>
      </c>
    </row>
    <row r="4" spans="1:5" x14ac:dyDescent="0.25">
      <c r="C4" s="22">
        <v>1000</v>
      </c>
    </row>
    <row r="5" spans="1:5" x14ac:dyDescent="0.25">
      <c r="C5" s="22">
        <v>1000</v>
      </c>
    </row>
    <row r="6" spans="1:5" x14ac:dyDescent="0.25">
      <c r="C6" s="22">
        <v>1000</v>
      </c>
    </row>
    <row r="7" spans="1:5" x14ac:dyDescent="0.25">
      <c r="C7" s="22">
        <v>1000</v>
      </c>
    </row>
    <row r="8" spans="1:5" x14ac:dyDescent="0.25">
      <c r="C8" s="22">
        <v>1000</v>
      </c>
    </row>
    <row r="9" spans="1:5" x14ac:dyDescent="0.25">
      <c r="C9" s="22">
        <v>1000</v>
      </c>
    </row>
    <row r="10" spans="1:5" x14ac:dyDescent="0.25">
      <c r="A10" t="s">
        <v>73</v>
      </c>
      <c r="C10" s="22">
        <f>SUM(C1:C9)</f>
        <v>9000</v>
      </c>
      <c r="D10" t="s">
        <v>74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N19"/>
  <sheetViews>
    <sheetView workbookViewId="0"/>
  </sheetViews>
  <sheetFormatPr defaultRowHeight="15" x14ac:dyDescent="0.25"/>
  <cols>
    <col min="1" max="1" width="7.7109375" bestFit="1" customWidth="1"/>
    <col min="2" max="2" width="10.85546875" bestFit="1" customWidth="1"/>
    <col min="3" max="3" width="6.42578125" bestFit="1" customWidth="1"/>
    <col min="4" max="4" width="5.28515625" bestFit="1" customWidth="1"/>
    <col min="5" max="5" width="4.7109375" bestFit="1" customWidth="1"/>
    <col min="6" max="6" width="5.140625" bestFit="1" customWidth="1"/>
    <col min="7" max="7" width="4.42578125" bestFit="1" customWidth="1"/>
    <col min="8" max="8" width="7.140625" bestFit="1" customWidth="1"/>
    <col min="9" max="9" width="10.85546875" bestFit="1" customWidth="1"/>
    <col min="10" max="10" width="8.140625" bestFit="1" customWidth="1"/>
    <col min="11" max="11" width="10.42578125" bestFit="1" customWidth="1"/>
    <col min="12" max="12" width="10.140625" bestFit="1" customWidth="1"/>
  </cols>
  <sheetData>
    <row r="2" spans="1:14" x14ac:dyDescent="0.25">
      <c r="A2" t="str">
        <f t="array" ref="A2:L2">monthnames()</f>
        <v>January</v>
      </c>
      <c r="B2" t="str">
        <v>February</v>
      </c>
      <c r="C2" t="str">
        <v>March</v>
      </c>
      <c r="D2" t="str">
        <v>April</v>
      </c>
      <c r="E2" t="str">
        <v>May</v>
      </c>
      <c r="F2" t="str">
        <v>June</v>
      </c>
      <c r="G2" t="str">
        <v>July</v>
      </c>
      <c r="H2" t="str">
        <v>August</v>
      </c>
      <c r="I2" t="str">
        <v>September</v>
      </c>
      <c r="J2" t="str">
        <v>October</v>
      </c>
      <c r="K2" t="str">
        <v>November</v>
      </c>
      <c r="L2" t="str">
        <v>December</v>
      </c>
      <c r="N2" t="str">
        <f>INDEX(monthnames(),ROW())</f>
        <v>February</v>
      </c>
    </row>
    <row r="3" spans="1:14" x14ac:dyDescent="0.25">
      <c r="N3" t="str">
        <f t="shared" ref="N3:N13" si="0">INDEX(monthnames(),ROW())</f>
        <v>March</v>
      </c>
    </row>
    <row r="4" spans="1:14" x14ac:dyDescent="0.25">
      <c r="N4" t="str">
        <f t="shared" si="0"/>
        <v>April</v>
      </c>
    </row>
    <row r="5" spans="1:14" x14ac:dyDescent="0.25">
      <c r="N5" t="str">
        <f t="shared" si="0"/>
        <v>May</v>
      </c>
    </row>
    <row r="6" spans="1:14" x14ac:dyDescent="0.25">
      <c r="N6" t="str">
        <f t="shared" si="0"/>
        <v>June</v>
      </c>
    </row>
    <row r="7" spans="1:14" x14ac:dyDescent="0.25">
      <c r="N7" t="str">
        <f t="shared" si="0"/>
        <v>July</v>
      </c>
    </row>
    <row r="8" spans="1:14" x14ac:dyDescent="0.25">
      <c r="B8" t="str">
        <f t="array" ref="B8:B19">TRANSPOSE(monthnames())</f>
        <v>January</v>
      </c>
      <c r="N8" t="str">
        <f t="shared" si="0"/>
        <v>August</v>
      </c>
    </row>
    <row r="9" spans="1:14" x14ac:dyDescent="0.25">
      <c r="B9" t="str">
        <v>February</v>
      </c>
      <c r="N9" t="str">
        <f t="shared" si="0"/>
        <v>September</v>
      </c>
    </row>
    <row r="10" spans="1:14" x14ac:dyDescent="0.25">
      <c r="B10" t="str">
        <v>March</v>
      </c>
      <c r="N10" t="str">
        <f t="shared" si="0"/>
        <v>October</v>
      </c>
    </row>
    <row r="11" spans="1:14" x14ac:dyDescent="0.25">
      <c r="B11" t="str">
        <v>April</v>
      </c>
      <c r="N11" t="str">
        <f t="shared" si="0"/>
        <v>November</v>
      </c>
    </row>
    <row r="12" spans="1:14" x14ac:dyDescent="0.25">
      <c r="B12" t="str">
        <v>May</v>
      </c>
      <c r="N12" t="str">
        <f t="shared" si="0"/>
        <v>December</v>
      </c>
    </row>
    <row r="13" spans="1:14" x14ac:dyDescent="0.25">
      <c r="B13" t="str">
        <v>June</v>
      </c>
      <c r="N13" t="e">
        <f t="shared" si="0"/>
        <v>#REF!</v>
      </c>
    </row>
    <row r="14" spans="1:14" x14ac:dyDescent="0.25">
      <c r="B14" t="str">
        <v>July</v>
      </c>
    </row>
    <row r="15" spans="1:14" x14ac:dyDescent="0.25">
      <c r="B15" t="str">
        <v>August</v>
      </c>
    </row>
    <row r="16" spans="1:14" x14ac:dyDescent="0.25">
      <c r="B16" t="str">
        <v>September</v>
      </c>
    </row>
    <row r="17" spans="2:2" x14ac:dyDescent="0.25">
      <c r="B17" t="str">
        <v>October</v>
      </c>
    </row>
    <row r="18" spans="2:2" x14ac:dyDescent="0.25">
      <c r="B18" t="str">
        <v>November</v>
      </c>
    </row>
    <row r="19" spans="2:2" x14ac:dyDescent="0.25">
      <c r="B19" t="str">
        <v>December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8"/>
  <sheetViews>
    <sheetView workbookViewId="0"/>
  </sheetViews>
  <sheetFormatPr defaultRowHeight="15" x14ac:dyDescent="0.25"/>
  <cols>
    <col min="1" max="1" width="12.28515625" customWidth="1"/>
    <col min="3" max="3" width="11.140625" customWidth="1"/>
  </cols>
  <sheetData>
    <row r="1" spans="1:13" x14ac:dyDescent="0.25">
      <c r="A1" s="4" t="s">
        <v>38</v>
      </c>
      <c r="C1" s="4" t="s">
        <v>39</v>
      </c>
    </row>
    <row r="2" spans="1:13" x14ac:dyDescent="0.25">
      <c r="A2" t="s">
        <v>27</v>
      </c>
      <c r="C2" t="str">
        <f t="array" ref="C2:C13">sorted(A2:A13)</f>
        <v>Abigail</v>
      </c>
    </row>
    <row r="3" spans="1:13" x14ac:dyDescent="0.25">
      <c r="A3" t="s">
        <v>23</v>
      </c>
      <c r="C3" t="str">
        <v>Ann</v>
      </c>
    </row>
    <row r="4" spans="1:13" x14ac:dyDescent="0.25">
      <c r="A4" t="s">
        <v>28</v>
      </c>
      <c r="C4" t="str">
        <v>Darren</v>
      </c>
    </row>
    <row r="5" spans="1:13" x14ac:dyDescent="0.25">
      <c r="A5" t="s">
        <v>75</v>
      </c>
      <c r="C5" t="str">
        <v>Frank</v>
      </c>
    </row>
    <row r="6" spans="1:13" x14ac:dyDescent="0.25">
      <c r="A6" t="s">
        <v>30</v>
      </c>
      <c r="C6" t="str">
        <v>Gomer</v>
      </c>
    </row>
    <row r="7" spans="1:13" x14ac:dyDescent="0.25">
      <c r="A7" t="s">
        <v>31</v>
      </c>
      <c r="C7" t="str">
        <v>Jackie</v>
      </c>
    </row>
    <row r="8" spans="1:13" x14ac:dyDescent="0.25">
      <c r="A8" t="s">
        <v>36</v>
      </c>
      <c r="C8" t="str">
        <v>Keith</v>
      </c>
    </row>
    <row r="9" spans="1:13" x14ac:dyDescent="0.25">
      <c r="A9" t="s">
        <v>32</v>
      </c>
      <c r="C9" t="str">
        <v>Louise</v>
      </c>
    </row>
    <row r="10" spans="1:13" x14ac:dyDescent="0.25">
      <c r="A10" t="s">
        <v>33</v>
      </c>
      <c r="C10" t="str">
        <v>Mary</v>
      </c>
    </row>
    <row r="11" spans="1:13" x14ac:dyDescent="0.25">
      <c r="A11" t="s">
        <v>29</v>
      </c>
      <c r="C11" t="str">
        <v>Opie</v>
      </c>
    </row>
    <row r="12" spans="1:13" x14ac:dyDescent="0.25">
      <c r="A12" t="s">
        <v>34</v>
      </c>
      <c r="C12" t="str">
        <v>Ralph</v>
      </c>
    </row>
    <row r="13" spans="1:13" x14ac:dyDescent="0.25">
      <c r="A13" t="s">
        <v>35</v>
      </c>
      <c r="C13" t="str">
        <v>Zola</v>
      </c>
    </row>
    <row r="16" spans="1:13" x14ac:dyDescent="0.25">
      <c r="A16" s="4" t="s">
        <v>38</v>
      </c>
      <c r="B16" t="s">
        <v>27</v>
      </c>
      <c r="C16" t="s">
        <v>23</v>
      </c>
      <c r="D16" t="s">
        <v>28</v>
      </c>
      <c r="E16" t="s">
        <v>37</v>
      </c>
      <c r="F16" t="s">
        <v>30</v>
      </c>
      <c r="G16" t="s">
        <v>31</v>
      </c>
      <c r="H16" t="s">
        <v>36</v>
      </c>
      <c r="I16" t="s">
        <v>32</v>
      </c>
      <c r="J16" t="s">
        <v>33</v>
      </c>
      <c r="K16" t="s">
        <v>29</v>
      </c>
      <c r="L16" t="s">
        <v>34</v>
      </c>
      <c r="M16" t="s">
        <v>35</v>
      </c>
    </row>
    <row r="18" spans="1:13" x14ac:dyDescent="0.25">
      <c r="A18" s="4" t="s">
        <v>39</v>
      </c>
      <c r="B18" t="str">
        <f t="array" ref="B18:M18">TRANSPOSE(sorted(B16:M16))</f>
        <v>Abigail</v>
      </c>
      <c r="C18" t="str">
        <v>Ann</v>
      </c>
      <c r="D18" t="str">
        <v>Darren</v>
      </c>
      <c r="E18" t="str">
        <v>Frank</v>
      </c>
      <c r="F18" t="str">
        <v>Jackie</v>
      </c>
      <c r="G18" t="str">
        <v>Keith</v>
      </c>
      <c r="H18" t="str">
        <v>Louise</v>
      </c>
      <c r="I18" t="str">
        <v>Mary</v>
      </c>
      <c r="J18" t="str">
        <v>Opie</v>
      </c>
      <c r="K18" t="str">
        <v>Ralph</v>
      </c>
      <c r="L18" t="str">
        <v>Tim</v>
      </c>
      <c r="M18" t="str">
        <v>Zola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Sheet1</vt:lpstr>
      <vt:lpstr>Commission</vt:lpstr>
      <vt:lpstr>JoinText</vt:lpstr>
      <vt:lpstr>TopAvg</vt:lpstr>
      <vt:lpstr>DrawOne</vt:lpstr>
      <vt:lpstr>IsLike</vt:lpstr>
      <vt:lpstr>NumberFormat</vt:lpstr>
      <vt:lpstr>ExtractElement</vt:lpstr>
      <vt:lpstr>SayIt</vt:lpstr>
      <vt:lpstr>MonthNames</vt:lpstr>
      <vt:lpstr>Sorted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custom functions.xlsm</dc:title>
  <dc:subject>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2004-04-09T17:29:34Z</dcterms:created>
  <dcterms:modified xsi:type="dcterms:W3CDTF">2012-11-29T16:33:28Z</dcterms:modified>
  <cp:category>Excel VBA Programming For Dummies</cp:category>
</cp:coreProperties>
</file>